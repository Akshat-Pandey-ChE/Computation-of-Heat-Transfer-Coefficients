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sha\Desktop\"/>
    </mc:Choice>
  </mc:AlternateContent>
  <xr:revisionPtr revIDLastSave="0" documentId="13_ncr:1_{9CDFC2A9-3B94-4D6B-B8E2-66C592F7B53C}" xr6:coauthVersionLast="38" xr6:coauthVersionMax="38" xr10:uidLastSave="{00000000-0000-0000-0000-000000000000}"/>
  <bookViews>
    <workbookView xWindow="0" yWindow="0" windowWidth="17256" windowHeight="5640" activeTab="1" xr2:uid="{48215ED6-4A77-4960-8950-5424637AEDB9}"/>
  </bookViews>
  <sheets>
    <sheet name="Sheet1" sheetId="1" r:id="rId1"/>
    <sheet name="Sheet2" sheetId="2" r:id="rId2"/>
    <sheet name="Sheet3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1" i="2" l="1"/>
  <c r="B24" i="2"/>
  <c r="B17" i="2"/>
  <c r="B10" i="2"/>
  <c r="B2" i="2"/>
</calcChain>
</file>

<file path=xl/sharedStrings.xml><?xml version="1.0" encoding="utf-8"?>
<sst xmlns="http://schemas.openxmlformats.org/spreadsheetml/2006/main" count="56" uniqueCount="26">
  <si>
    <t>Wall Temperature</t>
  </si>
  <si>
    <t>Film Temperature</t>
  </si>
  <si>
    <t>Density</t>
  </si>
  <si>
    <t>Viscosity</t>
  </si>
  <si>
    <t>Heat Transfer Coefficient</t>
  </si>
  <si>
    <t>Diameter</t>
  </si>
  <si>
    <t>Avg. Heat Transfer Coeff.</t>
  </si>
  <si>
    <t>Number of Tubes</t>
  </si>
  <si>
    <t>Value of X</t>
  </si>
  <si>
    <t xml:space="preserve">Complete Length </t>
  </si>
  <si>
    <t>Avg. Heat Transfer Coefficient</t>
  </si>
  <si>
    <t>More Efficient Avg. Heat Transfer Coeff.</t>
  </si>
  <si>
    <t>Modified Enthalpy of Vap.</t>
  </si>
  <si>
    <t>Pressure</t>
  </si>
  <si>
    <t>Conduction coeff.</t>
  </si>
  <si>
    <t xml:space="preserve">Temperature </t>
  </si>
  <si>
    <t>x</t>
  </si>
  <si>
    <r>
      <t>h</t>
    </r>
    <r>
      <rPr>
        <sz val="8"/>
        <color theme="1"/>
        <rFont val="Calibri"/>
        <family val="2"/>
        <scheme val="minor"/>
      </rPr>
      <t>x</t>
    </r>
  </si>
  <si>
    <t>No. of Tubes</t>
  </si>
  <si>
    <t>Average h</t>
  </si>
  <si>
    <t>Wall Temperature was 90 degree celsius</t>
  </si>
  <si>
    <t>Wall temp. was 90 C and d = 0.5m</t>
  </si>
  <si>
    <t>Wall temp. was 90 degree celsius</t>
  </si>
  <si>
    <t>Wall temperature was 90 degree celsius</t>
  </si>
  <si>
    <t>Wall Temperature was 98 degree celsius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</si>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</sst>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 val="double"/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6">
    <xf numFmtId="0" fontId="0" fillId="0" borderId="0" xfId="0"/>
    <xf numFmtId="0" fontId="3" fillId="4" borderId="0" xfId="3"/>
    <xf numFmtId="0" fontId="1" fillId="2" borderId="0" xfId="1"/>
    <xf numFmtId="0" fontId="2" fillId="3" borderId="0" xfId="2"/>
    <xf numFmtId="0" fontId="4" fillId="5" borderId="0" xfId="4"/>
    <xf numFmtId="0" fontId="0" fillId="0" borderId="0" xfId="0" applyAlignment="1">
      <alignment horizontal="center"/>
    </xf>
  </cellXfs>
  <cellStyles count="5">
    <cellStyle name="Accent5" xfId="4" builtinId="45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For</a:t>
            </a:r>
            <a:r>
              <a:rPr lang="en-IN" baseline="0"/>
              <a:t> Const. T</a:t>
            </a:r>
          </a:p>
          <a:p>
            <a:pPr>
              <a:defRPr/>
            </a:pPr>
            <a:r>
              <a:rPr lang="en-IN" baseline="0"/>
              <a:t>Vertical Plates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Sheet3!$A$2:$A$11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Sheet3!$B$2:$B$11</c:f>
              <c:numCache>
                <c:formatCode>General</c:formatCode>
                <c:ptCount val="10"/>
                <c:pt idx="0">
                  <c:v>12938.04</c:v>
                </c:pt>
                <c:pt idx="1">
                  <c:v>10879.55</c:v>
                </c:pt>
                <c:pt idx="2">
                  <c:v>9830.7860000000001</c:v>
                </c:pt>
                <c:pt idx="3">
                  <c:v>9148.57</c:v>
                </c:pt>
                <c:pt idx="4">
                  <c:v>8652.19</c:v>
                </c:pt>
                <c:pt idx="5">
                  <c:v>8266.6720000000005</c:v>
                </c:pt>
                <c:pt idx="6">
                  <c:v>7954.1549999999997</c:v>
                </c:pt>
                <c:pt idx="7">
                  <c:v>7693</c:v>
                </c:pt>
                <c:pt idx="8">
                  <c:v>7469.78</c:v>
                </c:pt>
                <c:pt idx="9">
                  <c:v>7279.59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F-42CD-9C97-332DBF330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919023"/>
        <c:axId val="540274943"/>
      </c:scatterChart>
      <c:valAx>
        <c:axId val="543919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</a:t>
                </a:r>
                <a:r>
                  <a:rPr lang="en-IN" baseline="0"/>
                  <a:t> of X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274943"/>
        <c:crosses val="autoZero"/>
        <c:crossBetween val="midCat"/>
      </c:valAx>
      <c:valAx>
        <c:axId val="54027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 of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919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For</a:t>
            </a:r>
            <a:r>
              <a:rPr lang="en-IN" baseline="0"/>
              <a:t> Const. T</a:t>
            </a:r>
          </a:p>
          <a:p>
            <a:pPr>
              <a:defRPr/>
            </a:pPr>
            <a:r>
              <a:rPr lang="en-IN" baseline="0"/>
              <a:t>Horizontal Tube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Sheet3!$H$2:$H$11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Sheet3!$I$2:$I$11</c:f>
              <c:numCache>
                <c:formatCode>General</c:formatCode>
                <c:ptCount val="10"/>
                <c:pt idx="0">
                  <c:v>8762.09</c:v>
                </c:pt>
                <c:pt idx="1">
                  <c:v>7368.01</c:v>
                </c:pt>
                <c:pt idx="2">
                  <c:v>6657.75</c:v>
                </c:pt>
                <c:pt idx="3">
                  <c:v>6195.73</c:v>
                </c:pt>
                <c:pt idx="4">
                  <c:v>5859.56</c:v>
                </c:pt>
                <c:pt idx="5">
                  <c:v>5598.47</c:v>
                </c:pt>
                <c:pt idx="6">
                  <c:v>5386.83</c:v>
                </c:pt>
                <c:pt idx="7">
                  <c:v>5209.97</c:v>
                </c:pt>
                <c:pt idx="8">
                  <c:v>5058.79</c:v>
                </c:pt>
                <c:pt idx="9">
                  <c:v>4927.28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B0-4A59-B574-8479FE182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670064"/>
        <c:axId val="1929895344"/>
      </c:scatterChart>
      <c:valAx>
        <c:axId val="192267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 of 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95344"/>
        <c:crosses val="autoZero"/>
        <c:crossBetween val="midCat"/>
      </c:valAx>
      <c:valAx>
        <c:axId val="192989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 of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67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For Const. T and D</a:t>
            </a:r>
          </a:p>
          <a:p>
            <a:pPr>
              <a:defRPr/>
            </a:pPr>
            <a:r>
              <a:rPr lang="en-IN"/>
              <a:t>N-Horizontal Tubes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Sheet3!$O$2:$O$11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</c:numCache>
            </c:numRef>
          </c:xVal>
          <c:yVal>
            <c:numRef>
              <c:f>Sheet3!$P$2:$P$11</c:f>
              <c:numCache>
                <c:formatCode>General</c:formatCode>
                <c:ptCount val="10"/>
                <c:pt idx="0">
                  <c:v>5859.5640000000003</c:v>
                </c:pt>
                <c:pt idx="1">
                  <c:v>3918.52</c:v>
                </c:pt>
                <c:pt idx="2">
                  <c:v>3295.0749999999998</c:v>
                </c:pt>
                <c:pt idx="3">
                  <c:v>2977.43</c:v>
                </c:pt>
                <c:pt idx="4">
                  <c:v>2770.81</c:v>
                </c:pt>
                <c:pt idx="5">
                  <c:v>2620.4699999999998</c:v>
                </c:pt>
                <c:pt idx="6">
                  <c:v>2503.71</c:v>
                </c:pt>
                <c:pt idx="7">
                  <c:v>2409.06</c:v>
                </c:pt>
                <c:pt idx="8">
                  <c:v>2329.9699999999998</c:v>
                </c:pt>
                <c:pt idx="9">
                  <c:v>2262.36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92-472C-BC80-8F807F7E9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534352"/>
        <c:axId val="1922838080"/>
      </c:scatterChart>
      <c:valAx>
        <c:axId val="178453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 of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2838080"/>
        <c:crosses val="autoZero"/>
        <c:crossBetween val="midCat"/>
      </c:valAx>
      <c:valAx>
        <c:axId val="192283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 of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53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For</a:t>
            </a:r>
            <a:r>
              <a:rPr lang="en-IN" baseline="0"/>
              <a:t> Const. T</a:t>
            </a:r>
          </a:p>
          <a:p>
            <a:pPr>
              <a:defRPr/>
            </a:pPr>
            <a:r>
              <a:rPr lang="en-IN" baseline="0"/>
              <a:t>Isothermal Sphere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Sheet3!$T$2:$T$11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Sheet3!$U$2:$U$11</c:f>
              <c:numCache>
                <c:formatCode>General</c:formatCode>
                <c:ptCount val="10"/>
                <c:pt idx="0">
                  <c:v>9849.7990000000009</c:v>
                </c:pt>
                <c:pt idx="1">
                  <c:v>8282.66</c:v>
                </c:pt>
                <c:pt idx="2">
                  <c:v>7484.22</c:v>
                </c:pt>
                <c:pt idx="3">
                  <c:v>6964.86</c:v>
                </c:pt>
                <c:pt idx="4">
                  <c:v>6586.95</c:v>
                </c:pt>
                <c:pt idx="5">
                  <c:v>6293.46</c:v>
                </c:pt>
                <c:pt idx="6">
                  <c:v>6055.54</c:v>
                </c:pt>
                <c:pt idx="7">
                  <c:v>5856.72</c:v>
                </c:pt>
                <c:pt idx="8">
                  <c:v>5686.78</c:v>
                </c:pt>
                <c:pt idx="9">
                  <c:v>5538.95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4B-42BF-BFFC-1CACB3528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640000"/>
        <c:axId val="2083920896"/>
      </c:scatterChart>
      <c:valAx>
        <c:axId val="209364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</a:t>
                </a:r>
                <a:r>
                  <a:rPr lang="en-IN" baseline="0"/>
                  <a:t> of d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920896"/>
        <c:crosses val="autoZero"/>
        <c:crossBetween val="midCat"/>
      </c:valAx>
      <c:valAx>
        <c:axId val="208392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</a:t>
                </a:r>
                <a:r>
                  <a:rPr lang="en-IN" baseline="0"/>
                  <a:t> of h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364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For</a:t>
            </a:r>
            <a:r>
              <a:rPr lang="en-IN" baseline="0"/>
              <a:t> Const. T</a:t>
            </a:r>
          </a:p>
          <a:p>
            <a:pPr>
              <a:defRPr/>
            </a:pPr>
            <a:r>
              <a:rPr lang="en-IN" baseline="0"/>
              <a:t>Inside Horizontal Tube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1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Sheet3!$AC$2:$AC$11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Sheet3!$AD$2:$AD$11</c:f>
              <c:numCache>
                <c:formatCode>General</c:formatCode>
                <c:ptCount val="10"/>
                <c:pt idx="0">
                  <c:v>6719.24</c:v>
                </c:pt>
                <c:pt idx="1">
                  <c:v>5650.16</c:v>
                </c:pt>
                <c:pt idx="2">
                  <c:v>5105.49</c:v>
                </c:pt>
                <c:pt idx="3">
                  <c:v>4751.2</c:v>
                </c:pt>
                <c:pt idx="4">
                  <c:v>4493.3999999999996</c:v>
                </c:pt>
                <c:pt idx="5">
                  <c:v>4293.1899999999996</c:v>
                </c:pt>
                <c:pt idx="6">
                  <c:v>4130.8900000000003</c:v>
                </c:pt>
                <c:pt idx="7">
                  <c:v>3995.26</c:v>
                </c:pt>
                <c:pt idx="8">
                  <c:v>3879.34</c:v>
                </c:pt>
                <c:pt idx="9">
                  <c:v>3778.49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77-4AE7-8A0D-C0785BCBE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562032"/>
        <c:axId val="2083920064"/>
      </c:scatterChart>
      <c:valAx>
        <c:axId val="2083562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</a:t>
                </a:r>
                <a:r>
                  <a:rPr lang="en-IN" baseline="0"/>
                  <a:t> of d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920064"/>
        <c:crosses val="autoZero"/>
        <c:crossBetween val="midCat"/>
      </c:valAx>
      <c:valAx>
        <c:axId val="208392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value</a:t>
                </a:r>
                <a:r>
                  <a:rPr lang="en-IN" baseline="0"/>
                  <a:t> of h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562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3</xdr:row>
          <xdr:rowOff>38100</xdr:rowOff>
        </xdr:from>
        <xdr:to>
          <xdr:col>8</xdr:col>
          <xdr:colOff>2286000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dbl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Calculate Condensation Heat Transfer Coefficient for Vertical Plates/Vertical Cylinders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11</xdr:row>
          <xdr:rowOff>15240</xdr:rowOff>
        </xdr:from>
        <xdr:to>
          <xdr:col>5</xdr:col>
          <xdr:colOff>1447800</xdr:colOff>
          <xdr:row>14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dbl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Calculate Average Condensation Heat Transfer Coefficient for Horizontal Tubes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18</xdr:row>
          <xdr:rowOff>15240</xdr:rowOff>
        </xdr:from>
        <xdr:to>
          <xdr:col>6</xdr:col>
          <xdr:colOff>1508760</xdr:colOff>
          <xdr:row>21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dbl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Calculate Average Condensation Heat Transfer Coefficient for N Horizontal Tubes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25</xdr:row>
          <xdr:rowOff>22860</xdr:rowOff>
        </xdr:from>
        <xdr:to>
          <xdr:col>5</xdr:col>
          <xdr:colOff>1455420</xdr:colOff>
          <xdr:row>28</xdr:row>
          <xdr:rowOff>45720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dbl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Calculate Average Condensation Heat Transfer Coefficient for Isothermal Sphere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32</xdr:row>
          <xdr:rowOff>30480</xdr:rowOff>
        </xdr:from>
        <xdr:to>
          <xdr:col>7</xdr:col>
          <xdr:colOff>7620</xdr:colOff>
          <xdr:row>35</xdr:row>
          <xdr:rowOff>45720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dbl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Calculate Average Condensation Heat Transfer Coefficient for Condensation inside Horizontal Tube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11</xdr:row>
      <xdr:rowOff>30480</xdr:rowOff>
    </xdr:from>
    <xdr:to>
      <xdr:col>5</xdr:col>
      <xdr:colOff>228600</xdr:colOff>
      <xdr:row>26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137160</xdr:colOff>
      <xdr:row>11</xdr:row>
      <xdr:rowOff>15240</xdr:rowOff>
    </xdr:from>
    <xdr:to>
      <xdr:col>12</xdr:col>
      <xdr:colOff>106680</xdr:colOff>
      <xdr:row>26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556260</xdr:colOff>
      <xdr:row>11</xdr:row>
      <xdr:rowOff>30480</xdr:rowOff>
    </xdr:from>
    <xdr:to>
      <xdr:col>17</xdr:col>
      <xdr:colOff>495300</xdr:colOff>
      <xdr:row>26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137160</xdr:colOff>
      <xdr:row>11</xdr:row>
      <xdr:rowOff>22860</xdr:rowOff>
    </xdr:from>
    <xdr:to>
      <xdr:col>24</xdr:col>
      <xdr:colOff>289560</xdr:colOff>
      <xdr:row>26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533400</xdr:colOff>
      <xdr:row>11</xdr:row>
      <xdr:rowOff>22860</xdr:rowOff>
    </xdr:from>
    <xdr:to>
      <xdr:col>32</xdr:col>
      <xdr:colOff>274320</xdr:colOff>
      <xdr:row>26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58B7EB-BBE3-4FF4-90FF-8C8B9921AF12}" name="Table1" displayName="Table1" ref="A1:I2" totalsRowShown="0">
  <autoFilter ref="A1:I2" xr:uid="{C137B35B-D183-4A5B-B054-1E6082C177D5}"/>
  <tableColumns count="9">
    <tableColumn id="1" xr3:uid="{ACF40614-56DC-4824-9863-BBA77A533215}" name="Wall Temperature"/>
    <tableColumn id="2" xr3:uid="{CD160F00-A391-47F9-9EFD-99073DDD2183}" name="Film Temperature"/>
    <tableColumn id="3" xr3:uid="{7CCA2D4F-89C6-42D5-ACFD-EB6A9575E732}" name="Value of X"/>
    <tableColumn id="4" xr3:uid="{0DCF88FF-63FD-4020-8AEC-AA209384092B}" name="Density"/>
    <tableColumn id="5" xr3:uid="{352DDBD5-628C-488F-8B57-EF829BF25814}" name="Viscosity"/>
    <tableColumn id="6" xr3:uid="{4E15E3EE-917C-43BB-A861-5FF2AF74D1F5}" name="Heat Transfer Coefficient"/>
    <tableColumn id="7" xr3:uid="{F9909024-BE01-444D-8749-F0B8A8122DA9}" name="Complete Length "/>
    <tableColumn id="8" xr3:uid="{2371CBAB-DAE2-4821-83B3-A406C8713A36}" name="Avg. Heat Transfer Coefficient"/>
    <tableColumn id="9" xr3:uid="{2A56849D-ED9F-4587-A87D-29708B0AE950}" name="More Efficient Avg. Heat Transfer Coeff.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E4452D-7AA1-4862-84CD-FE5D4D31A515}" name="Table2" displayName="Table2" ref="A9:F10" totalsRowShown="0">
  <autoFilter ref="A9:F10" xr:uid="{AF539E16-A469-4592-B5F4-53DB0C516907}"/>
  <tableColumns count="6">
    <tableColumn id="1" xr3:uid="{6311D977-FBEC-485C-A613-82E2E11A30FF}" name="Wall Temperature"/>
    <tableColumn id="2" xr3:uid="{7A44AC55-0657-4D14-910E-E958D150F47F}" name="Film Temperature">
      <calculatedColumnFormula>SUM(50,A10/2)</calculatedColumnFormula>
    </tableColumn>
    <tableColumn id="3" xr3:uid="{294736D0-7566-427C-8852-4B6C6C12A75F}" name="Diameter"/>
    <tableColumn id="4" xr3:uid="{134D1F7A-A942-4B57-9D3E-B83C1DDDE931}" name="Density"/>
    <tableColumn id="5" xr3:uid="{14CFD213-87C5-49FE-ABB6-68261E5663D3}" name="Viscosity"/>
    <tableColumn id="6" xr3:uid="{E1CA2746-B9C0-4854-9E64-BD1F4C7BAFB5}" name="Avg. Heat Transfer Coeff.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E31B33-C55A-438F-8BB0-214F6887CB58}" name="Table3" displayName="Table3" ref="A16:G17" totalsRowShown="0">
  <autoFilter ref="A16:G17" xr:uid="{59930F3A-4074-4B59-BC07-B8593952B3AE}"/>
  <tableColumns count="7">
    <tableColumn id="1" xr3:uid="{E009BA2A-5E3F-4383-A93A-911BC1706F1F}" name="Wall Temperature"/>
    <tableColumn id="2" xr3:uid="{2EFD6561-748D-45DD-9AAC-AD2ADD8F3924}" name="Film Temperature">
      <calculatedColumnFormula>SUM(50,A17/2)</calculatedColumnFormula>
    </tableColumn>
    <tableColumn id="3" xr3:uid="{4520B535-F56C-4737-ACC6-47A55466EC8D}" name="Diameter"/>
    <tableColumn id="4" xr3:uid="{8BB4BBE9-312C-4F3F-BB46-0898ECC587D6}" name="Density"/>
    <tableColumn id="5" xr3:uid="{EEBFAFE3-1D1B-40C6-AE35-5BE28CECDE9F}" name="Viscosity"/>
    <tableColumn id="6" xr3:uid="{DECAABAE-86E3-4255-BDBC-9C1751EE9AC8}" name="Number of Tubes"/>
    <tableColumn id="7" xr3:uid="{5FCF3CEE-E330-4DBC-90DA-A94A3E30158D}" name="Avg. Heat Transfer Coeff.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789F201-0094-4E53-BF1B-744AFA6EB4C3}" name="Table4" displayName="Table4" ref="A23:F24" totalsRowShown="0">
  <autoFilter ref="A23:F24" xr:uid="{2797F35D-9AC3-49B7-A3B1-A140B72856DF}"/>
  <tableColumns count="6">
    <tableColumn id="1" xr3:uid="{980C3BF5-6E27-4CB7-9BBA-1C21A191DBD7}" name="Wall Temperature"/>
    <tableColumn id="2" xr3:uid="{16CCF078-635C-49C4-B821-7473CCF14270}" name="Film Temperature">
      <calculatedColumnFormula>SUM(50,A24/2)</calculatedColumnFormula>
    </tableColumn>
    <tableColumn id="3" xr3:uid="{6AD96B84-DCCB-49AB-85D4-56B95A0192E7}" name="Diameter"/>
    <tableColumn id="4" xr3:uid="{0674C609-DC83-4901-AC0E-E651F5049D40}" name="Density"/>
    <tableColumn id="5" xr3:uid="{20D64CBF-3E7C-4EAE-B747-5AD43151B0A6}" name="Viscosity"/>
    <tableColumn id="6" xr3:uid="{1A97F0FF-BDAD-4CFC-A8C0-968A07062AD7}" name="Avg. Heat Transfer Coeff.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FF9CC0-C424-408E-9299-A0948BB53C99}" name="Table5" displayName="Table5" ref="A30:G31" totalsRowShown="0">
  <autoFilter ref="A30:G31" xr:uid="{1E830633-8CE5-4D83-9D3E-5A79FA0B73E1}"/>
  <tableColumns count="7">
    <tableColumn id="1" xr3:uid="{E83ED445-B722-4CBB-9AAD-D019FB323702}" name="Wall Temperature"/>
    <tableColumn id="2" xr3:uid="{620CB505-8B95-424E-B87D-E3A406506E84}" name="Film Temperature">
      <calculatedColumnFormula>SUM(50,A31/2)</calculatedColumnFormula>
    </tableColumn>
    <tableColumn id="3" xr3:uid="{BFAF1697-C410-4B24-9ED0-A1F0DEDBB0C8}" name="Diameter"/>
    <tableColumn id="4" xr3:uid="{D5F43360-8CF4-4261-A099-FF7072D11A70}" name="Density"/>
    <tableColumn id="5" xr3:uid="{95F15BB5-35B5-4C62-8BEE-1F410D02B632}" name="Viscosity"/>
    <tableColumn id="6" xr3:uid="{C246D516-4327-4ED6-A80D-611ECD3CB5DB}" name="Avg. Heat Transfer Coeff."/>
    <tableColumn id="7" xr3:uid="{B2F769CB-1707-4A4B-B603-CCAAC8A36655}" name="Modified Enthalpy of Vap.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E0A989-2740-4346-8C92-B2D747F0F73B}" name="Table6" displayName="Table6" ref="A1:B11" totalsRowShown="0">
  <autoFilter ref="A1:B11" xr:uid="{F38A769B-3AA6-416C-AA04-E81A776A48B0}"/>
  <tableColumns count="2">
    <tableColumn id="1" xr3:uid="{D3D967A5-9AAB-4904-A990-7453D5B8B3F2}" name="x"/>
    <tableColumn id="2" xr3:uid="{187A7943-792F-42C2-AB17-EDFE1C3E5EC8}" name="hx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1E339AA-E4D6-4656-9781-DB9308E83819}" name="Table7" displayName="Table7" ref="H1:I11" totalsRowShown="0">
  <autoFilter ref="H1:I11" xr:uid="{724F068F-1376-4082-955E-BEB4F290B2CC}"/>
  <tableColumns count="2">
    <tableColumn id="1" xr3:uid="{4FFF5648-1731-4EED-942D-16DC920E8778}" name="Diameter"/>
    <tableColumn id="2" xr3:uid="{0D1DF1D1-FED1-431C-84A9-9CB6D280936F}" name="Average h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DCA5AA-D854-4B48-84BA-22D5C9B2654E}" name="Table8" displayName="Table8" ref="O1:P11" totalsRowShown="0">
  <autoFilter ref="O1:P11" xr:uid="{19DE5E04-DA44-4A8C-9682-C99765AE7E25}"/>
  <tableColumns count="2">
    <tableColumn id="1" xr3:uid="{5005A276-D648-4AF3-9444-5E6AEFDEB2D7}" name="No. of Tubes"/>
    <tableColumn id="2" xr3:uid="{373FCE13-6B98-4A49-B493-83FF2E9F8823}" name="Average h"/>
  </tableColumns>
  <tableStyleInfo name="TableStyleLight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6F875AF-7E26-4F4F-BBFF-777CD77E2F0C}" name="Table9" displayName="Table9" ref="T1:U11" totalsRowShown="0">
  <autoFilter ref="T1:U11" xr:uid="{385D7F24-A360-4DF3-9A97-34905DEAFA84}"/>
  <tableColumns count="2">
    <tableColumn id="1" xr3:uid="{C48B067A-C036-445B-B86E-9B2C63C0D87C}" name="Diameter"/>
    <tableColumn id="2" xr3:uid="{CCD472C3-0876-4E3B-8D5B-697CCDB7591A}" name="Average h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D2E304F-DC70-400F-948E-D0BF6918A180}" name="Table10" displayName="Table10" ref="AC1:AD11" totalsRowShown="0">
  <autoFilter ref="AC1:AD11" xr:uid="{9967CA1E-BD07-4ADD-BB0A-96F49CCBE555}"/>
  <tableColumns count="2">
    <tableColumn id="1" xr3:uid="{9D562207-B1B9-4112-9E92-4C02798F2663}" name="Diameter"/>
    <tableColumn id="2" xr3:uid="{0E940439-51FC-4748-B20F-9765F280DA92}" name="Average h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2CBB3-FCA4-4669-9BF5-23D36D7EC52B}">
  <sheetPr codeName="Sheet1"/>
  <dimension ref="A1:M100"/>
  <sheetViews>
    <sheetView workbookViewId="0">
      <selection activeCell="L20" sqref="L20"/>
    </sheetView>
  </sheetViews>
  <sheetFormatPr defaultRowHeight="14.4" x14ac:dyDescent="0.3"/>
  <cols>
    <col min="1" max="1" width="8.88671875" style="1"/>
    <col min="3" max="3" width="8.88671875" style="2"/>
    <col min="4" max="4" width="8.88671875" style="3"/>
    <col min="5" max="5" width="8.88671875" style="4"/>
    <col min="10" max="10" width="12.33203125" customWidth="1"/>
    <col min="11" max="11" width="14.88671875" customWidth="1"/>
    <col min="12" max="12" width="17.21875" customWidth="1"/>
    <col min="13" max="13" width="14.77734375" customWidth="1"/>
    <col min="14" max="14" width="17.109375" customWidth="1"/>
  </cols>
  <sheetData>
    <row r="1" spans="1:13" x14ac:dyDescent="0.3">
      <c r="A1" s="1">
        <v>1</v>
      </c>
      <c r="B1">
        <v>101325</v>
      </c>
      <c r="C1" s="2">
        <v>999.89</v>
      </c>
      <c r="D1" s="3">
        <v>1.7309999999999999E-3</v>
      </c>
      <c r="E1" s="4">
        <v>0.56799999999999995</v>
      </c>
    </row>
    <row r="2" spans="1:13" x14ac:dyDescent="0.3">
      <c r="A2" s="1">
        <v>2</v>
      </c>
      <c r="B2">
        <v>101325</v>
      </c>
      <c r="C2" s="2">
        <v>999.94</v>
      </c>
      <c r="D2" s="3">
        <v>1.6739999999999999E-3</v>
      </c>
      <c r="E2" s="4">
        <v>0.56999999999999995</v>
      </c>
    </row>
    <row r="3" spans="1:13" x14ac:dyDescent="0.3">
      <c r="A3" s="1">
        <v>3</v>
      </c>
      <c r="B3">
        <v>101325</v>
      </c>
      <c r="C3" s="2">
        <v>999.98</v>
      </c>
      <c r="D3" s="3">
        <v>1.6199999999999999E-3</v>
      </c>
      <c r="E3" s="4">
        <v>0.57199999999999995</v>
      </c>
    </row>
    <row r="4" spans="1:13" x14ac:dyDescent="0.3">
      <c r="A4" s="1">
        <v>4</v>
      </c>
      <c r="B4">
        <v>101325</v>
      </c>
      <c r="C4" s="2">
        <v>1000</v>
      </c>
      <c r="D4" s="3">
        <v>1.5690000000000001E-3</v>
      </c>
      <c r="E4" s="4">
        <v>0.57399999999999995</v>
      </c>
    </row>
    <row r="5" spans="1:13" x14ac:dyDescent="0.3">
      <c r="A5" s="1">
        <v>5</v>
      </c>
      <c r="B5">
        <v>101325</v>
      </c>
      <c r="C5" s="2">
        <v>1000</v>
      </c>
      <c r="D5" s="3">
        <v>1.5200000000000001E-3</v>
      </c>
      <c r="E5" s="4">
        <v>0.57579999999999998</v>
      </c>
    </row>
    <row r="6" spans="1:13" x14ac:dyDescent="0.3">
      <c r="A6" s="1">
        <v>6</v>
      </c>
      <c r="B6">
        <v>101325</v>
      </c>
      <c r="C6" s="2">
        <v>999.99</v>
      </c>
      <c r="D6" s="3">
        <v>1.4729999999999999E-3</v>
      </c>
      <c r="E6" s="4">
        <v>0.57765999999999995</v>
      </c>
    </row>
    <row r="7" spans="1:13" x14ac:dyDescent="0.3">
      <c r="A7" s="1">
        <v>7</v>
      </c>
      <c r="B7">
        <v>101325</v>
      </c>
      <c r="C7" s="2">
        <v>999.96</v>
      </c>
      <c r="D7" s="3">
        <v>1.4289999999999999E-3</v>
      </c>
      <c r="E7" s="4">
        <v>0.57950000000000002</v>
      </c>
      <c r="I7" s="1" t="s">
        <v>15</v>
      </c>
      <c r="J7" t="s">
        <v>13</v>
      </c>
      <c r="K7" s="2" t="s">
        <v>2</v>
      </c>
      <c r="L7" s="3" t="s">
        <v>3</v>
      </c>
      <c r="M7" s="4" t="s">
        <v>14</v>
      </c>
    </row>
    <row r="8" spans="1:13" x14ac:dyDescent="0.3">
      <c r="A8" s="1">
        <v>8</v>
      </c>
      <c r="B8">
        <v>101325</v>
      </c>
      <c r="C8" s="2">
        <v>999.91</v>
      </c>
      <c r="D8" s="3">
        <v>1.3860000000000001E-3</v>
      </c>
      <c r="E8" s="4">
        <v>0.58130000000000004</v>
      </c>
    </row>
    <row r="9" spans="1:13" x14ac:dyDescent="0.3">
      <c r="A9" s="1">
        <v>9</v>
      </c>
      <c r="B9">
        <v>101325</v>
      </c>
      <c r="C9" s="2">
        <v>999.85</v>
      </c>
      <c r="D9" s="3">
        <v>1.346E-3</v>
      </c>
      <c r="E9" s="4">
        <v>0.58320000000000005</v>
      </c>
    </row>
    <row r="10" spans="1:13" x14ac:dyDescent="0.3">
      <c r="A10" s="1">
        <v>10</v>
      </c>
      <c r="B10">
        <v>101325</v>
      </c>
      <c r="C10" s="2">
        <v>999.77</v>
      </c>
      <c r="D10" s="3">
        <v>1.3079999999999999E-3</v>
      </c>
      <c r="E10" s="4">
        <v>0.58499999999999996</v>
      </c>
    </row>
    <row r="11" spans="1:13" x14ac:dyDescent="0.3">
      <c r="A11" s="1">
        <v>11</v>
      </c>
      <c r="B11">
        <v>101325</v>
      </c>
      <c r="C11" s="2">
        <v>999.68</v>
      </c>
      <c r="D11" s="3">
        <v>1.271E-3</v>
      </c>
      <c r="E11" s="4">
        <v>0.58638000000000001</v>
      </c>
    </row>
    <row r="12" spans="1:13" x14ac:dyDescent="0.3">
      <c r="A12" s="1">
        <v>12</v>
      </c>
      <c r="B12">
        <v>101325</v>
      </c>
      <c r="C12" s="2">
        <v>999.58</v>
      </c>
      <c r="D12" s="3">
        <v>1.2359999999999999E-3</v>
      </c>
      <c r="E12" s="4">
        <v>0.58775999999999995</v>
      </c>
    </row>
    <row r="13" spans="1:13" x14ac:dyDescent="0.3">
      <c r="A13" s="1">
        <v>13</v>
      </c>
      <c r="B13">
        <v>101325</v>
      </c>
      <c r="C13" s="2">
        <v>999.46</v>
      </c>
      <c r="D13" s="3">
        <v>1.2019999999999999E-3</v>
      </c>
      <c r="E13" s="4">
        <v>0.58914</v>
      </c>
    </row>
    <row r="14" spans="1:13" x14ac:dyDescent="0.3">
      <c r="A14" s="1">
        <v>14</v>
      </c>
      <c r="B14">
        <v>101325</v>
      </c>
      <c r="C14" s="2">
        <v>999.33</v>
      </c>
      <c r="D14" s="3">
        <v>1.17E-3</v>
      </c>
      <c r="E14" s="4">
        <v>0.59052000000000004</v>
      </c>
    </row>
    <row r="15" spans="1:13" x14ac:dyDescent="0.3">
      <c r="A15" s="1">
        <v>15</v>
      </c>
      <c r="B15">
        <v>101325</v>
      </c>
      <c r="C15" s="2">
        <v>999.19</v>
      </c>
      <c r="D15" s="3">
        <v>1.139E-3</v>
      </c>
      <c r="E15" s="4">
        <v>0.59189999999999998</v>
      </c>
    </row>
    <row r="16" spans="1:13" x14ac:dyDescent="0.3">
      <c r="A16" s="1">
        <v>16</v>
      </c>
      <c r="B16">
        <v>101325</v>
      </c>
      <c r="C16" s="2">
        <v>999.03</v>
      </c>
      <c r="D16" s="3">
        <v>1.109E-3</v>
      </c>
      <c r="E16" s="4">
        <v>0.59328000000000003</v>
      </c>
    </row>
    <row r="17" spans="1:10" x14ac:dyDescent="0.3">
      <c r="A17" s="1">
        <v>17</v>
      </c>
      <c r="B17">
        <v>101325</v>
      </c>
      <c r="C17" s="2">
        <v>998.86</v>
      </c>
      <c r="D17" s="3">
        <v>1.0809999999999999E-3</v>
      </c>
      <c r="E17" s="4">
        <v>0.59465999999999997</v>
      </c>
      <c r="J17" t="s">
        <v>25</v>
      </c>
    </row>
    <row r="18" spans="1:10" x14ac:dyDescent="0.3">
      <c r="A18" s="1">
        <v>18</v>
      </c>
      <c r="B18">
        <v>101325</v>
      </c>
      <c r="C18" s="2">
        <v>998.68</v>
      </c>
      <c r="D18" s="3">
        <v>1.054E-3</v>
      </c>
      <c r="E18" s="4">
        <v>0.59604000000000001</v>
      </c>
    </row>
    <row r="19" spans="1:10" x14ac:dyDescent="0.3">
      <c r="A19" s="1">
        <v>19</v>
      </c>
      <c r="B19">
        <v>101325</v>
      </c>
      <c r="C19" s="2">
        <v>998.49</v>
      </c>
      <c r="D19" s="3">
        <v>1.0280000000000001E-3</v>
      </c>
      <c r="E19" s="4">
        <v>0.59741999999999995</v>
      </c>
    </row>
    <row r="20" spans="1:10" x14ac:dyDescent="0.3">
      <c r="A20" s="1">
        <v>20</v>
      </c>
      <c r="B20">
        <v>101325</v>
      </c>
      <c r="C20" s="2">
        <v>998.29</v>
      </c>
      <c r="D20" s="3">
        <v>1.003E-3</v>
      </c>
      <c r="E20" s="4">
        <v>0.5988</v>
      </c>
    </row>
    <row r="21" spans="1:10" x14ac:dyDescent="0.3">
      <c r="A21" s="1">
        <v>21</v>
      </c>
      <c r="B21">
        <v>101325</v>
      </c>
      <c r="C21" s="2">
        <v>998.08</v>
      </c>
      <c r="D21" s="3">
        <v>9.7900000000000005E-4</v>
      </c>
      <c r="E21" s="4">
        <v>0.60018000000000005</v>
      </c>
    </row>
    <row r="22" spans="1:10" x14ac:dyDescent="0.3">
      <c r="A22" s="1">
        <v>22</v>
      </c>
      <c r="B22">
        <v>101325</v>
      </c>
      <c r="C22" s="2">
        <v>997.86</v>
      </c>
      <c r="D22" s="3">
        <v>9.5500000000000001E-4</v>
      </c>
      <c r="E22" s="4">
        <v>0.60156000000000098</v>
      </c>
    </row>
    <row r="23" spans="1:10" x14ac:dyDescent="0.3">
      <c r="A23" s="1">
        <v>23</v>
      </c>
      <c r="B23">
        <v>101325</v>
      </c>
      <c r="C23" s="2">
        <v>997.62</v>
      </c>
      <c r="D23" s="3">
        <v>9.3300000000000002E-4</v>
      </c>
      <c r="E23" s="4">
        <v>0.60294000000000103</v>
      </c>
    </row>
    <row r="24" spans="1:10" x14ac:dyDescent="0.3">
      <c r="A24" s="1">
        <v>24</v>
      </c>
      <c r="B24">
        <v>101325</v>
      </c>
      <c r="C24" s="2">
        <v>997.38</v>
      </c>
      <c r="D24" s="3">
        <v>9.1100000000000003E-4</v>
      </c>
      <c r="E24" s="4">
        <v>0.60432000000000097</v>
      </c>
    </row>
    <row r="25" spans="1:10" x14ac:dyDescent="0.3">
      <c r="A25" s="1">
        <v>25</v>
      </c>
      <c r="B25">
        <v>101325</v>
      </c>
      <c r="C25" s="2">
        <v>997.13</v>
      </c>
      <c r="D25" s="3">
        <v>8.9099999999999997E-4</v>
      </c>
      <c r="E25" s="4">
        <v>0.60570000000000102</v>
      </c>
    </row>
    <row r="26" spans="1:10" x14ac:dyDescent="0.3">
      <c r="A26" s="1">
        <v>26</v>
      </c>
      <c r="B26">
        <v>101325</v>
      </c>
      <c r="C26" s="2">
        <v>996.86</v>
      </c>
      <c r="D26" s="3">
        <v>8.7100000000000003E-4</v>
      </c>
      <c r="E26" s="4">
        <v>0.60708000000000095</v>
      </c>
    </row>
    <row r="27" spans="1:10" x14ac:dyDescent="0.3">
      <c r="A27" s="1">
        <v>27</v>
      </c>
      <c r="B27">
        <v>101325</v>
      </c>
      <c r="C27" s="2">
        <v>996.59</v>
      </c>
      <c r="D27" s="3">
        <v>8.52E-4</v>
      </c>
      <c r="E27" s="4">
        <v>0.608460000000001</v>
      </c>
    </row>
    <row r="28" spans="1:10" x14ac:dyDescent="0.3">
      <c r="A28" s="1">
        <v>28</v>
      </c>
      <c r="B28">
        <v>101325</v>
      </c>
      <c r="C28" s="2">
        <v>996.31</v>
      </c>
      <c r="D28" s="3">
        <v>8.3299999999999997E-4</v>
      </c>
      <c r="E28" s="4">
        <v>0.60984000000000105</v>
      </c>
    </row>
    <row r="29" spans="1:10" x14ac:dyDescent="0.3">
      <c r="A29" s="1">
        <v>29</v>
      </c>
      <c r="B29">
        <v>101325</v>
      </c>
      <c r="C29" s="2">
        <v>996.02</v>
      </c>
      <c r="D29" s="3">
        <v>8.1499999999999997E-4</v>
      </c>
      <c r="E29" s="4">
        <v>0.61122000000000098</v>
      </c>
    </row>
    <row r="30" spans="1:10" x14ac:dyDescent="0.3">
      <c r="A30" s="1">
        <v>30</v>
      </c>
      <c r="B30">
        <v>101325</v>
      </c>
      <c r="C30" s="2">
        <v>995.71</v>
      </c>
      <c r="D30" s="3">
        <v>7.9799999999999999E-4</v>
      </c>
      <c r="E30" s="4">
        <v>0.61260000000000103</v>
      </c>
    </row>
    <row r="31" spans="1:10" x14ac:dyDescent="0.3">
      <c r="A31" s="1">
        <v>31</v>
      </c>
      <c r="B31">
        <v>101325</v>
      </c>
      <c r="C31" s="2">
        <v>995.41</v>
      </c>
      <c r="D31" s="3">
        <v>7.8100000000000001E-4</v>
      </c>
      <c r="E31" s="4">
        <v>0.61398000000000097</v>
      </c>
    </row>
    <row r="32" spans="1:10" x14ac:dyDescent="0.3">
      <c r="A32" s="1">
        <v>32</v>
      </c>
      <c r="B32">
        <v>101325</v>
      </c>
      <c r="C32" s="2">
        <v>995.09</v>
      </c>
      <c r="D32" s="3">
        <v>7.6499999999999995E-4</v>
      </c>
      <c r="E32" s="4">
        <v>0.61536000000000102</v>
      </c>
    </row>
    <row r="33" spans="1:5" x14ac:dyDescent="0.3">
      <c r="A33" s="1">
        <v>33</v>
      </c>
      <c r="B33">
        <v>101325</v>
      </c>
      <c r="C33" s="2">
        <v>994.76</v>
      </c>
      <c r="D33" s="3">
        <v>7.4899999999999999E-4</v>
      </c>
      <c r="E33" s="4">
        <v>0.61674000000000095</v>
      </c>
    </row>
    <row r="34" spans="1:5" x14ac:dyDescent="0.3">
      <c r="A34" s="1">
        <v>34</v>
      </c>
      <c r="B34">
        <v>101325</v>
      </c>
      <c r="C34" s="2">
        <v>994.43</v>
      </c>
      <c r="D34" s="3">
        <v>7.3399999999999995E-4</v>
      </c>
      <c r="E34" s="4">
        <v>0.618120000000001</v>
      </c>
    </row>
    <row r="35" spans="1:5" x14ac:dyDescent="0.3">
      <c r="A35" s="1">
        <v>35</v>
      </c>
      <c r="B35">
        <v>101325</v>
      </c>
      <c r="C35" s="2">
        <v>994.08</v>
      </c>
      <c r="D35" s="3">
        <v>7.2000000000000005E-4</v>
      </c>
      <c r="E35" s="4">
        <v>0.61950000000000105</v>
      </c>
    </row>
    <row r="36" spans="1:5" x14ac:dyDescent="0.3">
      <c r="A36" s="1">
        <v>36</v>
      </c>
      <c r="B36">
        <v>101325</v>
      </c>
      <c r="C36" s="2">
        <v>993.73</v>
      </c>
      <c r="D36" s="3">
        <v>7.0500000000000001E-4</v>
      </c>
      <c r="E36" s="4">
        <v>0.62088000000000099</v>
      </c>
    </row>
    <row r="37" spans="1:5" x14ac:dyDescent="0.3">
      <c r="A37" s="1">
        <v>37</v>
      </c>
      <c r="B37">
        <v>101325</v>
      </c>
      <c r="C37" s="2">
        <v>993.37</v>
      </c>
      <c r="D37" s="3">
        <v>6.9200000000000002E-4</v>
      </c>
      <c r="E37" s="4">
        <v>0.62226000000000103</v>
      </c>
    </row>
    <row r="38" spans="1:5" x14ac:dyDescent="0.3">
      <c r="A38" s="1">
        <v>38</v>
      </c>
      <c r="B38">
        <v>101325</v>
      </c>
      <c r="C38" s="2">
        <v>993</v>
      </c>
      <c r="D38" s="3">
        <v>6.78E-4</v>
      </c>
      <c r="E38" s="4">
        <v>0.62364000000000097</v>
      </c>
    </row>
    <row r="39" spans="1:5" x14ac:dyDescent="0.3">
      <c r="A39" s="1">
        <v>39</v>
      </c>
      <c r="B39">
        <v>101325</v>
      </c>
      <c r="C39" s="2">
        <v>992.63</v>
      </c>
      <c r="D39" s="3">
        <v>6.6600000000000003E-4</v>
      </c>
      <c r="E39" s="4">
        <v>0.62502000000000102</v>
      </c>
    </row>
    <row r="40" spans="1:5" x14ac:dyDescent="0.3">
      <c r="A40" s="1">
        <v>40</v>
      </c>
      <c r="B40">
        <v>101325</v>
      </c>
      <c r="C40" s="2">
        <v>992.25</v>
      </c>
      <c r="D40" s="3">
        <v>6.5300000000000004E-4</v>
      </c>
      <c r="E40" s="4">
        <v>0.62640000000000096</v>
      </c>
    </row>
    <row r="41" spans="1:5" x14ac:dyDescent="0.3">
      <c r="A41" s="1">
        <v>41</v>
      </c>
      <c r="B41">
        <v>101325</v>
      </c>
      <c r="C41" s="2">
        <v>991.86</v>
      </c>
      <c r="D41" s="3">
        <v>6.4099999999999997E-4</v>
      </c>
      <c r="E41" s="4">
        <v>0.627780000000001</v>
      </c>
    </row>
    <row r="42" spans="1:5" x14ac:dyDescent="0.3">
      <c r="A42" s="1">
        <v>42</v>
      </c>
      <c r="B42">
        <v>101325</v>
      </c>
      <c r="C42" s="2">
        <v>991.46</v>
      </c>
      <c r="D42" s="3">
        <v>6.29E-4</v>
      </c>
      <c r="E42" s="4">
        <v>0.62916000000000105</v>
      </c>
    </row>
    <row r="43" spans="1:5" x14ac:dyDescent="0.3">
      <c r="A43" s="1">
        <v>43</v>
      </c>
      <c r="B43">
        <v>101325</v>
      </c>
      <c r="C43" s="2">
        <v>991.05</v>
      </c>
      <c r="D43" s="3">
        <v>6.1799999999999995E-4</v>
      </c>
      <c r="E43" s="4">
        <v>0.63054000000000199</v>
      </c>
    </row>
    <row r="44" spans="1:5" x14ac:dyDescent="0.3">
      <c r="A44" s="1">
        <v>44</v>
      </c>
      <c r="B44">
        <v>101325</v>
      </c>
      <c r="C44" s="2">
        <v>990.64</v>
      </c>
      <c r="D44" s="3">
        <v>6.0700000000000001E-4</v>
      </c>
      <c r="E44" s="4">
        <v>0.63192000000000204</v>
      </c>
    </row>
    <row r="45" spans="1:5" x14ac:dyDescent="0.3">
      <c r="A45" s="1">
        <v>45</v>
      </c>
      <c r="B45">
        <v>101325</v>
      </c>
      <c r="C45" s="2">
        <v>990.22</v>
      </c>
      <c r="D45" s="3">
        <v>5.9599999999999996E-4</v>
      </c>
      <c r="E45" s="4">
        <v>0.63330000000000197</v>
      </c>
    </row>
    <row r="46" spans="1:5" x14ac:dyDescent="0.3">
      <c r="A46" s="1">
        <v>46</v>
      </c>
      <c r="B46">
        <v>101325</v>
      </c>
      <c r="C46" s="2">
        <v>989.8</v>
      </c>
      <c r="D46" s="3">
        <v>5.8600000000000004E-4</v>
      </c>
      <c r="E46" s="4">
        <v>0.63468000000000202</v>
      </c>
    </row>
    <row r="47" spans="1:5" x14ac:dyDescent="0.3">
      <c r="A47" s="1">
        <v>47</v>
      </c>
      <c r="B47">
        <v>101325</v>
      </c>
      <c r="C47" s="2">
        <v>989.36</v>
      </c>
      <c r="D47" s="3">
        <v>5.7600000000000001E-4</v>
      </c>
      <c r="E47" s="4">
        <v>0.63606000000000196</v>
      </c>
    </row>
    <row r="48" spans="1:5" x14ac:dyDescent="0.3">
      <c r="A48" s="1">
        <v>48</v>
      </c>
      <c r="B48">
        <v>101325</v>
      </c>
      <c r="C48" s="2">
        <v>988.92</v>
      </c>
      <c r="D48" s="3">
        <v>5.6599999999999999E-4</v>
      </c>
      <c r="E48" s="4">
        <v>0.63744000000000201</v>
      </c>
    </row>
    <row r="49" spans="1:5" x14ac:dyDescent="0.3">
      <c r="A49" s="1">
        <v>49</v>
      </c>
      <c r="B49">
        <v>101325</v>
      </c>
      <c r="C49" s="2">
        <v>988.47</v>
      </c>
      <c r="D49" s="3">
        <v>5.5599999999999996E-4</v>
      </c>
      <c r="E49" s="4">
        <v>0.63882000000000205</v>
      </c>
    </row>
    <row r="50" spans="1:5" x14ac:dyDescent="0.3">
      <c r="A50" s="1">
        <v>50</v>
      </c>
      <c r="B50">
        <v>101325</v>
      </c>
      <c r="C50" s="2">
        <v>988.02</v>
      </c>
      <c r="D50" s="3">
        <v>5.4699999999999996E-4</v>
      </c>
      <c r="E50" s="4">
        <v>0.64020000000000199</v>
      </c>
    </row>
    <row r="51" spans="1:5" x14ac:dyDescent="0.3">
      <c r="A51" s="1">
        <v>51</v>
      </c>
      <c r="B51">
        <v>101325</v>
      </c>
      <c r="C51" s="2">
        <v>987.56</v>
      </c>
      <c r="D51" s="3">
        <v>5.3799999999999996E-4</v>
      </c>
      <c r="E51" s="4">
        <v>0.64158000000000204</v>
      </c>
    </row>
    <row r="52" spans="1:5" x14ac:dyDescent="0.3">
      <c r="A52" s="1">
        <v>52</v>
      </c>
      <c r="B52">
        <v>101325</v>
      </c>
      <c r="C52" s="2">
        <v>987.09</v>
      </c>
      <c r="D52" s="3">
        <v>5.2899999999999996E-4</v>
      </c>
      <c r="E52" s="4">
        <v>0.64296000000000197</v>
      </c>
    </row>
    <row r="53" spans="1:5" x14ac:dyDescent="0.3">
      <c r="A53" s="1">
        <v>53</v>
      </c>
      <c r="B53">
        <v>101325</v>
      </c>
      <c r="C53" s="2">
        <v>986.62</v>
      </c>
      <c r="D53" s="3">
        <v>5.2099999999999998E-4</v>
      </c>
      <c r="E53" s="4">
        <v>0.64434000000000202</v>
      </c>
    </row>
    <row r="54" spans="1:5" x14ac:dyDescent="0.3">
      <c r="A54" s="1">
        <v>54</v>
      </c>
      <c r="B54">
        <v>101325</v>
      </c>
      <c r="C54" s="2">
        <v>986.14</v>
      </c>
      <c r="D54" s="3">
        <v>5.1199999999999998E-4</v>
      </c>
      <c r="E54" s="4">
        <v>0.64572000000000196</v>
      </c>
    </row>
    <row r="55" spans="1:5" x14ac:dyDescent="0.3">
      <c r="A55" s="1">
        <v>55</v>
      </c>
      <c r="B55">
        <v>101325</v>
      </c>
      <c r="C55" s="2">
        <v>985.65</v>
      </c>
      <c r="D55" s="3">
        <v>5.04E-4</v>
      </c>
      <c r="E55" s="4">
        <v>0.64710000000000201</v>
      </c>
    </row>
    <row r="56" spans="1:5" x14ac:dyDescent="0.3">
      <c r="A56" s="1">
        <v>56</v>
      </c>
      <c r="B56">
        <v>101325</v>
      </c>
      <c r="C56" s="2">
        <v>985.16</v>
      </c>
      <c r="D56" s="3">
        <v>4.9600000000000002E-4</v>
      </c>
      <c r="E56" s="4">
        <v>0.64848000000000205</v>
      </c>
    </row>
    <row r="57" spans="1:5" x14ac:dyDescent="0.3">
      <c r="A57" s="1">
        <v>57</v>
      </c>
      <c r="B57">
        <v>101325</v>
      </c>
      <c r="C57" s="2">
        <v>984.66</v>
      </c>
      <c r="D57" s="3">
        <v>4.8899999999999996E-4</v>
      </c>
      <c r="E57" s="4">
        <v>0.64986000000000199</v>
      </c>
    </row>
    <row r="58" spans="1:5" x14ac:dyDescent="0.3">
      <c r="A58" s="1">
        <v>58</v>
      </c>
      <c r="B58">
        <v>101325</v>
      </c>
      <c r="C58" s="2">
        <v>984.16</v>
      </c>
      <c r="D58" s="3">
        <v>4.8099999999999998E-4</v>
      </c>
      <c r="E58" s="4">
        <v>0.65124000000000204</v>
      </c>
    </row>
    <row r="59" spans="1:5" x14ac:dyDescent="0.3">
      <c r="A59" s="1">
        <v>59</v>
      </c>
      <c r="B59">
        <v>101325</v>
      </c>
      <c r="C59" s="2">
        <v>983.64</v>
      </c>
      <c r="D59" s="3">
        <v>4.7399999999999997E-4</v>
      </c>
      <c r="E59" s="4">
        <v>0.65262000000000198</v>
      </c>
    </row>
    <row r="60" spans="1:5" x14ac:dyDescent="0.3">
      <c r="A60" s="1">
        <v>60</v>
      </c>
      <c r="B60">
        <v>101325</v>
      </c>
      <c r="C60" s="2">
        <v>983.13</v>
      </c>
      <c r="D60" s="3">
        <v>4.6700000000000002E-4</v>
      </c>
      <c r="E60" s="4">
        <v>0.65400000000000202</v>
      </c>
    </row>
    <row r="61" spans="1:5" x14ac:dyDescent="0.3">
      <c r="A61" s="1">
        <v>61</v>
      </c>
      <c r="B61">
        <v>101325</v>
      </c>
      <c r="C61" s="2">
        <v>982.6</v>
      </c>
      <c r="D61" s="3">
        <v>4.6000000000000001E-4</v>
      </c>
      <c r="E61" s="4">
        <v>0.65467500000000001</v>
      </c>
    </row>
    <row r="62" spans="1:5" x14ac:dyDescent="0.3">
      <c r="A62" s="1">
        <v>62</v>
      </c>
      <c r="B62">
        <v>101325</v>
      </c>
      <c r="C62" s="2">
        <v>982.07</v>
      </c>
      <c r="D62" s="3">
        <v>4.5300000000000001E-4</v>
      </c>
      <c r="E62" s="4">
        <v>0.65534999999999999</v>
      </c>
    </row>
    <row r="63" spans="1:5" x14ac:dyDescent="0.3">
      <c r="A63" s="1">
        <v>63</v>
      </c>
      <c r="B63">
        <v>101325</v>
      </c>
      <c r="C63" s="2">
        <v>981.54</v>
      </c>
      <c r="D63" s="3">
        <v>4.4700000000000002E-4</v>
      </c>
      <c r="E63" s="4">
        <v>0.65600000000000003</v>
      </c>
    </row>
    <row r="64" spans="1:5" x14ac:dyDescent="0.3">
      <c r="A64" s="1">
        <v>64</v>
      </c>
      <c r="B64">
        <v>101325</v>
      </c>
      <c r="C64" s="2">
        <v>981</v>
      </c>
      <c r="D64" s="3">
        <v>4.4000000000000002E-4</v>
      </c>
      <c r="E64" s="4">
        <v>0.65667499999999901</v>
      </c>
    </row>
    <row r="65" spans="1:5" x14ac:dyDescent="0.3">
      <c r="A65" s="1">
        <v>65</v>
      </c>
      <c r="B65">
        <v>101325</v>
      </c>
      <c r="C65" s="2">
        <v>980.45</v>
      </c>
      <c r="D65" s="3">
        <v>4.3399999999999998E-4</v>
      </c>
      <c r="E65" s="4">
        <v>0.65734249999999805</v>
      </c>
    </row>
    <row r="66" spans="1:5" x14ac:dyDescent="0.3">
      <c r="A66" s="1">
        <v>66</v>
      </c>
      <c r="B66">
        <v>101325</v>
      </c>
      <c r="C66" s="2">
        <v>979.9</v>
      </c>
      <c r="D66" s="3">
        <v>4.28E-4</v>
      </c>
      <c r="E66" s="4">
        <v>0.65800999999999799</v>
      </c>
    </row>
    <row r="67" spans="1:5" x14ac:dyDescent="0.3">
      <c r="A67" s="1">
        <v>67</v>
      </c>
      <c r="B67">
        <v>101325</v>
      </c>
      <c r="C67" s="2">
        <v>979.34</v>
      </c>
      <c r="D67" s="3">
        <v>4.2200000000000001E-4</v>
      </c>
      <c r="E67" s="4">
        <v>0.65867749999999703</v>
      </c>
    </row>
    <row r="68" spans="1:5" x14ac:dyDescent="0.3">
      <c r="A68" s="1">
        <v>68</v>
      </c>
      <c r="B68">
        <v>101325</v>
      </c>
      <c r="C68" s="2">
        <v>978.78</v>
      </c>
      <c r="D68" s="3">
        <v>4.1599999999999997E-4</v>
      </c>
      <c r="E68" s="4">
        <v>0.65934499999999696</v>
      </c>
    </row>
    <row r="69" spans="1:5" x14ac:dyDescent="0.3">
      <c r="A69" s="1">
        <v>69</v>
      </c>
      <c r="B69">
        <v>101325</v>
      </c>
      <c r="C69" s="2">
        <v>978.21</v>
      </c>
      <c r="D69" s="3">
        <v>4.0999999999999999E-4</v>
      </c>
      <c r="E69" s="4">
        <v>0.66001249999999601</v>
      </c>
    </row>
    <row r="70" spans="1:5" x14ac:dyDescent="0.3">
      <c r="A70" s="1">
        <v>70</v>
      </c>
      <c r="B70">
        <v>101325</v>
      </c>
      <c r="C70" s="2">
        <v>977.63</v>
      </c>
      <c r="D70" s="3">
        <v>4.0400000000000001E-4</v>
      </c>
      <c r="E70" s="4">
        <v>0.66067999999999505</v>
      </c>
    </row>
    <row r="71" spans="1:5" x14ac:dyDescent="0.3">
      <c r="A71" s="1">
        <v>71</v>
      </c>
      <c r="B71">
        <v>101325</v>
      </c>
      <c r="C71" s="2">
        <v>977.05</v>
      </c>
      <c r="D71" s="3">
        <v>3.9899999999999999E-4</v>
      </c>
      <c r="E71" s="4">
        <v>0.66134749999999498</v>
      </c>
    </row>
    <row r="72" spans="1:5" x14ac:dyDescent="0.3">
      <c r="A72" s="1">
        <v>72</v>
      </c>
      <c r="B72">
        <v>101325</v>
      </c>
      <c r="C72" s="2">
        <v>976.47</v>
      </c>
      <c r="D72" s="3">
        <v>3.9399999999999998E-4</v>
      </c>
      <c r="E72" s="4">
        <v>0.66201499999999402</v>
      </c>
    </row>
    <row r="73" spans="1:5" x14ac:dyDescent="0.3">
      <c r="A73" s="1">
        <v>73</v>
      </c>
      <c r="B73">
        <v>101325</v>
      </c>
      <c r="C73" s="2">
        <v>975.88</v>
      </c>
      <c r="D73" s="3">
        <v>3.88E-4</v>
      </c>
      <c r="E73" s="4">
        <v>0.66268249999999396</v>
      </c>
    </row>
    <row r="74" spans="1:5" x14ac:dyDescent="0.3">
      <c r="A74" s="1">
        <v>74</v>
      </c>
      <c r="B74">
        <v>101325</v>
      </c>
      <c r="C74" s="2">
        <v>975.28</v>
      </c>
      <c r="D74" s="3">
        <v>3.8299999999999999E-4</v>
      </c>
      <c r="E74" s="4">
        <v>0.663349999999993</v>
      </c>
    </row>
    <row r="75" spans="1:5" x14ac:dyDescent="0.3">
      <c r="A75" s="1">
        <v>75</v>
      </c>
      <c r="B75">
        <v>101325</v>
      </c>
      <c r="C75" s="2">
        <v>974.68</v>
      </c>
      <c r="D75" s="3">
        <v>3.7800000000000003E-4</v>
      </c>
      <c r="E75" s="4">
        <v>0.66401749999999204</v>
      </c>
    </row>
    <row r="76" spans="1:5" x14ac:dyDescent="0.3">
      <c r="A76" s="1">
        <v>76</v>
      </c>
      <c r="B76">
        <v>101325</v>
      </c>
      <c r="C76" s="2">
        <v>974.08</v>
      </c>
      <c r="D76" s="3">
        <v>3.7300000000000001E-4</v>
      </c>
      <c r="E76" s="4">
        <v>0.66468499999999198</v>
      </c>
    </row>
    <row r="77" spans="1:5" x14ac:dyDescent="0.3">
      <c r="A77" s="1">
        <v>77</v>
      </c>
      <c r="B77">
        <v>101325</v>
      </c>
      <c r="C77" s="2">
        <v>973.46</v>
      </c>
      <c r="D77" s="3">
        <v>3.6900000000000002E-4</v>
      </c>
      <c r="E77" s="4">
        <v>0.66535249999999102</v>
      </c>
    </row>
    <row r="78" spans="1:5" x14ac:dyDescent="0.3">
      <c r="A78" s="1">
        <v>78</v>
      </c>
      <c r="B78">
        <v>101325</v>
      </c>
      <c r="C78" s="2">
        <v>972.85</v>
      </c>
      <c r="D78" s="3">
        <v>3.6400000000000001E-4</v>
      </c>
      <c r="E78" s="4">
        <v>0.66601999999999095</v>
      </c>
    </row>
    <row r="79" spans="1:5" x14ac:dyDescent="0.3">
      <c r="A79" s="1">
        <v>79</v>
      </c>
      <c r="B79">
        <v>101325</v>
      </c>
      <c r="C79" s="2">
        <v>972.23</v>
      </c>
      <c r="D79" s="3">
        <v>3.59E-4</v>
      </c>
      <c r="E79" s="4">
        <v>0.66668749999999</v>
      </c>
    </row>
    <row r="80" spans="1:5" x14ac:dyDescent="0.3">
      <c r="A80" s="1">
        <v>80</v>
      </c>
      <c r="B80">
        <v>101325</v>
      </c>
      <c r="C80" s="2">
        <v>971.6</v>
      </c>
      <c r="D80" s="3">
        <v>3.5500000000000001E-4</v>
      </c>
      <c r="E80" s="4">
        <v>0.66735499999998904</v>
      </c>
    </row>
    <row r="81" spans="1:5" x14ac:dyDescent="0.3">
      <c r="A81" s="1">
        <v>81</v>
      </c>
      <c r="B81">
        <v>101325</v>
      </c>
      <c r="C81" s="2">
        <v>970.97</v>
      </c>
      <c r="D81" s="3">
        <v>3.5100000000000002E-4</v>
      </c>
      <c r="E81" s="4">
        <v>0.66802249999998897</v>
      </c>
    </row>
    <row r="82" spans="1:5" x14ac:dyDescent="0.3">
      <c r="A82" s="1">
        <v>82</v>
      </c>
      <c r="B82">
        <v>101325</v>
      </c>
      <c r="C82" s="2">
        <v>970.33</v>
      </c>
      <c r="D82" s="3">
        <v>3.4600000000000001E-4</v>
      </c>
      <c r="E82" s="4">
        <v>0.66868999999998802</v>
      </c>
    </row>
    <row r="83" spans="1:5" x14ac:dyDescent="0.3">
      <c r="A83" s="1">
        <v>83</v>
      </c>
      <c r="B83">
        <v>101325</v>
      </c>
      <c r="C83" s="2">
        <v>969.69</v>
      </c>
      <c r="D83" s="3">
        <v>3.4200000000000002E-4</v>
      </c>
      <c r="E83" s="4">
        <v>0.66935749999998795</v>
      </c>
    </row>
    <row r="84" spans="1:5" x14ac:dyDescent="0.3">
      <c r="A84" s="1">
        <v>84</v>
      </c>
      <c r="B84">
        <v>101325</v>
      </c>
      <c r="C84" s="2">
        <v>969.04</v>
      </c>
      <c r="D84" s="3">
        <v>3.3799999999999998E-4</v>
      </c>
      <c r="E84" s="4">
        <v>0.67002499999998699</v>
      </c>
    </row>
    <row r="85" spans="1:5" x14ac:dyDescent="0.3">
      <c r="A85" s="1">
        <v>85</v>
      </c>
      <c r="B85">
        <v>101325</v>
      </c>
      <c r="C85" s="2">
        <v>968.39</v>
      </c>
      <c r="D85" s="3">
        <v>3.3399999999999999E-4</v>
      </c>
      <c r="E85" s="4">
        <v>0.67069249999998604</v>
      </c>
    </row>
    <row r="86" spans="1:5" x14ac:dyDescent="0.3">
      <c r="A86" s="1">
        <v>86</v>
      </c>
      <c r="B86">
        <v>101325</v>
      </c>
      <c r="C86" s="2">
        <v>967.73</v>
      </c>
      <c r="D86" s="3">
        <v>3.3E-4</v>
      </c>
      <c r="E86" s="4">
        <v>0.67135999999998597</v>
      </c>
    </row>
    <row r="87" spans="1:5" x14ac:dyDescent="0.3">
      <c r="A87" s="1">
        <v>87</v>
      </c>
      <c r="B87">
        <v>101325</v>
      </c>
      <c r="C87" s="2">
        <v>967.07</v>
      </c>
      <c r="D87" s="3">
        <v>3.2600000000000001E-4</v>
      </c>
      <c r="E87" s="4">
        <v>0.67202749999998501</v>
      </c>
    </row>
    <row r="88" spans="1:5" x14ac:dyDescent="0.3">
      <c r="A88" s="1">
        <v>88</v>
      </c>
      <c r="B88">
        <v>101325</v>
      </c>
      <c r="C88" s="2">
        <v>966.41</v>
      </c>
      <c r="D88" s="3">
        <v>3.2200000000000002E-4</v>
      </c>
      <c r="E88" s="4">
        <v>0.67269499999998505</v>
      </c>
    </row>
    <row r="89" spans="1:5" x14ac:dyDescent="0.3">
      <c r="A89" s="1">
        <v>89</v>
      </c>
      <c r="B89">
        <v>101325</v>
      </c>
      <c r="C89" s="2">
        <v>965.74</v>
      </c>
      <c r="D89" s="3">
        <v>3.19E-4</v>
      </c>
      <c r="E89" s="4">
        <v>0.67336249999998399</v>
      </c>
    </row>
    <row r="90" spans="1:5" x14ac:dyDescent="0.3">
      <c r="A90" s="1">
        <v>90</v>
      </c>
      <c r="B90">
        <v>101325</v>
      </c>
      <c r="C90" s="2">
        <v>965.06</v>
      </c>
      <c r="D90" s="3">
        <v>3.1500000000000001E-4</v>
      </c>
      <c r="E90" s="4">
        <v>0.67402999999998303</v>
      </c>
    </row>
    <row r="91" spans="1:5" x14ac:dyDescent="0.3">
      <c r="A91" s="1">
        <v>91</v>
      </c>
      <c r="B91">
        <v>101325</v>
      </c>
      <c r="C91" s="2">
        <v>964.38</v>
      </c>
      <c r="D91" s="3">
        <v>3.1100000000000002E-4</v>
      </c>
      <c r="E91" s="4">
        <v>0.67469749999998296</v>
      </c>
    </row>
    <row r="92" spans="1:5" x14ac:dyDescent="0.3">
      <c r="A92" s="1">
        <v>92</v>
      </c>
      <c r="B92">
        <v>101325</v>
      </c>
      <c r="C92" s="2">
        <v>963.7</v>
      </c>
      <c r="D92" s="3">
        <v>3.0800000000000001E-4</v>
      </c>
      <c r="E92" s="4">
        <v>0.67536499999998201</v>
      </c>
    </row>
    <row r="93" spans="1:5" x14ac:dyDescent="0.3">
      <c r="A93" s="1">
        <v>93</v>
      </c>
      <c r="B93">
        <v>101325</v>
      </c>
      <c r="C93" s="2">
        <v>963.01</v>
      </c>
      <c r="D93" s="3">
        <v>3.0400000000000002E-4</v>
      </c>
      <c r="E93" s="4">
        <v>0.67603249999998205</v>
      </c>
    </row>
    <row r="94" spans="1:5" x14ac:dyDescent="0.3">
      <c r="A94" s="1">
        <v>94</v>
      </c>
      <c r="B94">
        <v>101325</v>
      </c>
      <c r="C94" s="2">
        <v>962.31</v>
      </c>
      <c r="D94" s="3">
        <v>3.01E-4</v>
      </c>
      <c r="E94" s="4">
        <v>0.67669999999998098</v>
      </c>
    </row>
    <row r="95" spans="1:5" x14ac:dyDescent="0.3">
      <c r="A95" s="1">
        <v>95</v>
      </c>
      <c r="B95">
        <v>101325</v>
      </c>
      <c r="C95" s="2">
        <v>961.62</v>
      </c>
      <c r="D95" s="3">
        <v>2.9799999999999998E-4</v>
      </c>
      <c r="E95" s="4">
        <v>0.67736749999998003</v>
      </c>
    </row>
    <row r="96" spans="1:5" x14ac:dyDescent="0.3">
      <c r="A96" s="1">
        <v>96</v>
      </c>
      <c r="B96">
        <v>101325</v>
      </c>
      <c r="C96" s="2">
        <v>960.91</v>
      </c>
      <c r="D96" s="3">
        <v>2.9500000000000001E-4</v>
      </c>
      <c r="E96" s="4">
        <v>0.67803499999997996</v>
      </c>
    </row>
    <row r="97" spans="1:5" x14ac:dyDescent="0.3">
      <c r="A97" s="1">
        <v>97</v>
      </c>
      <c r="B97">
        <v>101325</v>
      </c>
      <c r="C97" s="2">
        <v>960.2</v>
      </c>
      <c r="D97" s="3">
        <v>2.9100000000000003E-4</v>
      </c>
      <c r="E97" s="4">
        <v>0.678702499999979</v>
      </c>
    </row>
    <row r="98" spans="1:5" x14ac:dyDescent="0.3">
      <c r="A98" s="1">
        <v>98</v>
      </c>
      <c r="B98">
        <v>101325</v>
      </c>
      <c r="C98" s="2">
        <v>959.49</v>
      </c>
      <c r="D98" s="3">
        <v>2.8800000000000001E-4</v>
      </c>
      <c r="E98" s="4">
        <v>0.67936999999997905</v>
      </c>
    </row>
    <row r="99" spans="1:5" x14ac:dyDescent="0.3">
      <c r="A99" s="1">
        <v>99</v>
      </c>
      <c r="B99">
        <v>101325</v>
      </c>
      <c r="C99" s="2">
        <v>958.78</v>
      </c>
      <c r="D99" s="3">
        <v>2.8499999999999999E-4</v>
      </c>
      <c r="E99" s="4">
        <v>0.68003749999997798</v>
      </c>
    </row>
    <row r="100" spans="1:5" x14ac:dyDescent="0.3">
      <c r="A100" s="1">
        <v>100</v>
      </c>
      <c r="B100">
        <v>101325</v>
      </c>
      <c r="C100" s="2">
        <v>958.05</v>
      </c>
      <c r="D100" s="3">
        <v>2.8200000000000002E-4</v>
      </c>
      <c r="E100" s="4">
        <v>0.68070499999997702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3084-07B9-47BF-B266-6CCCA0C4D704}">
  <sheetPr codeName="Sheet2"/>
  <dimension ref="A1:I31"/>
  <sheetViews>
    <sheetView tabSelected="1" workbookViewId="0">
      <selection activeCell="C2" sqref="C2"/>
    </sheetView>
  </sheetViews>
  <sheetFormatPr defaultRowHeight="14.4" x14ac:dyDescent="0.3"/>
  <cols>
    <col min="1" max="1" width="18.88671875" customWidth="1"/>
    <col min="2" max="2" width="18.21875" customWidth="1"/>
    <col min="3" max="3" width="23.21875" customWidth="1"/>
    <col min="4" max="4" width="11.6640625" customWidth="1"/>
    <col min="5" max="5" width="11.77734375" customWidth="1"/>
    <col min="6" max="6" width="24.5546875" customWidth="1"/>
    <col min="7" max="7" width="25.109375" customWidth="1"/>
    <col min="8" max="8" width="29.109375" customWidth="1"/>
    <col min="9" max="9" width="36.88671875" customWidth="1"/>
  </cols>
  <sheetData>
    <row r="1" spans="1:9" x14ac:dyDescent="0.3">
      <c r="A1" t="s">
        <v>0</v>
      </c>
      <c r="B1" t="s">
        <v>1</v>
      </c>
      <c r="C1" t="s">
        <v>8</v>
      </c>
      <c r="D1" t="s">
        <v>2</v>
      </c>
      <c r="E1" t="s">
        <v>3</v>
      </c>
      <c r="F1" t="s">
        <v>4</v>
      </c>
      <c r="G1" t="s">
        <v>9</v>
      </c>
      <c r="H1" t="s">
        <v>10</v>
      </c>
      <c r="I1" t="s">
        <v>11</v>
      </c>
    </row>
    <row r="2" spans="1:9" x14ac:dyDescent="0.3">
      <c r="A2">
        <v>90</v>
      </c>
      <c r="B2">
        <f>SUM(50,A2/2)</f>
        <v>95</v>
      </c>
      <c r="C2">
        <v>1</v>
      </c>
      <c r="D2">
        <v>961.6199951171875</v>
      </c>
      <c r="E2">
        <v>2.9799999902024865E-4</v>
      </c>
      <c r="F2">
        <v>4804.45458984375</v>
      </c>
      <c r="G2">
        <v>0.3</v>
      </c>
      <c r="H2">
        <v>8657.458984375</v>
      </c>
      <c r="I2">
        <v>10374.26171875</v>
      </c>
    </row>
    <row r="9" spans="1:9" x14ac:dyDescent="0.3">
      <c r="A9" t="s">
        <v>0</v>
      </c>
      <c r="B9" t="s">
        <v>1</v>
      </c>
      <c r="C9" t="s">
        <v>5</v>
      </c>
      <c r="D9" t="s">
        <v>2</v>
      </c>
      <c r="E9" t="s">
        <v>3</v>
      </c>
      <c r="F9" t="s">
        <v>6</v>
      </c>
    </row>
    <row r="10" spans="1:9" x14ac:dyDescent="0.3">
      <c r="A10">
        <v>90</v>
      </c>
      <c r="B10">
        <f>SUM(50,A10/2)</f>
        <v>95</v>
      </c>
      <c r="C10">
        <v>0.5</v>
      </c>
      <c r="D10">
        <v>961.6199951171875</v>
      </c>
      <c r="E10">
        <v>2.9799999902024865E-4</v>
      </c>
      <c r="F10">
        <v>5859.564453125</v>
      </c>
    </row>
    <row r="16" spans="1:9" x14ac:dyDescent="0.3">
      <c r="A16" t="s">
        <v>0</v>
      </c>
      <c r="B16" t="s">
        <v>1</v>
      </c>
      <c r="C16" t="s">
        <v>5</v>
      </c>
      <c r="D16" t="s">
        <v>2</v>
      </c>
      <c r="E16" t="s">
        <v>3</v>
      </c>
      <c r="F16" t="s">
        <v>7</v>
      </c>
      <c r="G16" t="s">
        <v>6</v>
      </c>
    </row>
    <row r="17" spans="1:7" x14ac:dyDescent="0.3">
      <c r="A17">
        <v>98</v>
      </c>
      <c r="B17">
        <f>SUM(50,A17/2)</f>
        <v>99</v>
      </c>
      <c r="C17">
        <v>1.2699999999999999E-2</v>
      </c>
      <c r="D17">
        <v>958.780029296875</v>
      </c>
      <c r="E17">
        <v>2.8499998734332621E-4</v>
      </c>
      <c r="F17">
        <v>10</v>
      </c>
      <c r="G17">
        <v>12499.17578125</v>
      </c>
    </row>
    <row r="23" spans="1:7" x14ac:dyDescent="0.3">
      <c r="A23" t="s">
        <v>0</v>
      </c>
      <c r="B23" t="s">
        <v>1</v>
      </c>
      <c r="C23" t="s">
        <v>5</v>
      </c>
      <c r="D23" t="s">
        <v>2</v>
      </c>
      <c r="E23" t="s">
        <v>3</v>
      </c>
      <c r="F23" t="s">
        <v>6</v>
      </c>
    </row>
    <row r="24" spans="1:7" x14ac:dyDescent="0.3">
      <c r="A24">
        <v>98</v>
      </c>
      <c r="B24">
        <f>SUM(50,A24/2)</f>
        <v>99</v>
      </c>
      <c r="C24">
        <v>0.2</v>
      </c>
      <c r="D24">
        <v>958.780029296875</v>
      </c>
      <c r="E24">
        <v>2.8499998734332621E-4</v>
      </c>
      <c r="F24">
        <v>12542.7978515625</v>
      </c>
    </row>
    <row r="30" spans="1:7" x14ac:dyDescent="0.3">
      <c r="A30" t="s">
        <v>0</v>
      </c>
      <c r="B30" t="s">
        <v>1</v>
      </c>
      <c r="C30" t="s">
        <v>5</v>
      </c>
      <c r="D30" t="s">
        <v>2</v>
      </c>
      <c r="E30" t="s">
        <v>3</v>
      </c>
      <c r="F30" t="s">
        <v>6</v>
      </c>
      <c r="G30" t="s">
        <v>12</v>
      </c>
    </row>
    <row r="31" spans="1:7" x14ac:dyDescent="0.3">
      <c r="A31">
        <v>90</v>
      </c>
      <c r="B31">
        <f>SUM(50,A31/2)</f>
        <v>95</v>
      </c>
      <c r="C31">
        <v>1</v>
      </c>
      <c r="D31">
        <v>961.6199951171875</v>
      </c>
      <c r="E31">
        <v>2.9799999902024865E-4</v>
      </c>
      <c r="F31">
        <v>3778.491943359375</v>
      </c>
      <c r="G31">
        <v>2270750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eat_Transfer_Coefficient">
                <anchor moveWithCells="1" sizeWithCells="1">
                  <from>
                    <xdr:col>0</xdr:col>
                    <xdr:colOff>60960</xdr:colOff>
                    <xdr:row>3</xdr:row>
                    <xdr:rowOff>38100</xdr:rowOff>
                  </from>
                  <to>
                    <xdr:col>8</xdr:col>
                    <xdr:colOff>2286000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eat_Transfer_Horizontal_Tube">
                <anchor moveWithCells="1" sizeWithCells="1">
                  <from>
                    <xdr:col>0</xdr:col>
                    <xdr:colOff>83820</xdr:colOff>
                    <xdr:row>11</xdr:row>
                    <xdr:rowOff>15240</xdr:rowOff>
                  </from>
                  <to>
                    <xdr:col>5</xdr:col>
                    <xdr:colOff>1447800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Heat_Transfer_N_horizontal_Tubes">
                <anchor moveWithCells="1" sizeWithCells="1">
                  <from>
                    <xdr:col>0</xdr:col>
                    <xdr:colOff>83820</xdr:colOff>
                    <xdr:row>18</xdr:row>
                    <xdr:rowOff>15240</xdr:rowOff>
                  </from>
                  <to>
                    <xdr:col>6</xdr:col>
                    <xdr:colOff>1508760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Heat_Transfer_Coefficient_Sphere">
                <anchor moveWithCells="1" sizeWithCells="1">
                  <from>
                    <xdr:col>0</xdr:col>
                    <xdr:colOff>60960</xdr:colOff>
                    <xdr:row>25</xdr:row>
                    <xdr:rowOff>22860</xdr:rowOff>
                  </from>
                  <to>
                    <xdr:col>5</xdr:col>
                    <xdr:colOff>1455420</xdr:colOff>
                    <xdr:row>28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Heat_Transfer_Inside_Horizontal_Tube">
                <anchor moveWithCells="1" sizeWithCells="1">
                  <from>
                    <xdr:col>0</xdr:col>
                    <xdr:colOff>22860</xdr:colOff>
                    <xdr:row>32</xdr:row>
                    <xdr:rowOff>30480</xdr:rowOff>
                  </from>
                  <to>
                    <xdr:col>7</xdr:col>
                    <xdr:colOff>7620</xdr:colOff>
                    <xdr:row>35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5"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AF785-F6E3-4A22-BB21-BBCFFA1BBCA5}">
  <sheetPr codeName="Sheet3"/>
  <dimension ref="A1:AF28"/>
  <sheetViews>
    <sheetView workbookViewId="0">
      <selection activeCell="E5" sqref="E5"/>
    </sheetView>
  </sheetViews>
  <sheetFormatPr defaultRowHeight="14.4" x14ac:dyDescent="0.3"/>
  <cols>
    <col min="8" max="8" width="11.88671875" customWidth="1"/>
    <col min="9" max="9" width="12.109375" customWidth="1"/>
    <col min="15" max="15" width="14.88671875" customWidth="1"/>
    <col min="16" max="16" width="13.33203125" customWidth="1"/>
    <col min="20" max="20" width="11.5546875" customWidth="1"/>
    <col min="21" max="21" width="11.88671875" customWidth="1"/>
    <col min="29" max="29" width="11.44140625" customWidth="1"/>
    <col min="30" max="30" width="11.5546875" customWidth="1"/>
  </cols>
  <sheetData>
    <row r="1" spans="1:30" x14ac:dyDescent="0.3">
      <c r="A1" t="s">
        <v>16</v>
      </c>
      <c r="B1" t="s">
        <v>17</v>
      </c>
      <c r="H1" t="s">
        <v>5</v>
      </c>
      <c r="I1" t="s">
        <v>19</v>
      </c>
      <c r="O1" t="s">
        <v>18</v>
      </c>
      <c r="P1" t="s">
        <v>19</v>
      </c>
      <c r="T1" t="s">
        <v>5</v>
      </c>
      <c r="U1" t="s">
        <v>19</v>
      </c>
      <c r="AC1" t="s">
        <v>5</v>
      </c>
      <c r="AD1" t="s">
        <v>19</v>
      </c>
    </row>
    <row r="2" spans="1:30" x14ac:dyDescent="0.3">
      <c r="A2">
        <v>0.1</v>
      </c>
      <c r="B2">
        <v>12938.04</v>
      </c>
      <c r="H2">
        <v>0.1</v>
      </c>
      <c r="I2">
        <v>8762.09</v>
      </c>
      <c r="O2">
        <v>1</v>
      </c>
      <c r="P2">
        <v>5859.5640000000003</v>
      </c>
      <c r="T2">
        <v>0.1</v>
      </c>
      <c r="U2">
        <v>9849.7990000000009</v>
      </c>
      <c r="AC2">
        <v>0.1</v>
      </c>
      <c r="AD2">
        <v>6719.24</v>
      </c>
    </row>
    <row r="3" spans="1:30" x14ac:dyDescent="0.3">
      <c r="A3">
        <v>0.2</v>
      </c>
      <c r="B3">
        <v>10879.55</v>
      </c>
      <c r="H3">
        <v>0.2</v>
      </c>
      <c r="I3">
        <v>7368.01</v>
      </c>
      <c r="O3">
        <v>5</v>
      </c>
      <c r="P3">
        <v>3918.52</v>
      </c>
      <c r="T3">
        <v>0.2</v>
      </c>
      <c r="U3">
        <v>8282.66</v>
      </c>
      <c r="AC3">
        <v>0.2</v>
      </c>
      <c r="AD3">
        <v>5650.16</v>
      </c>
    </row>
    <row r="4" spans="1:30" x14ac:dyDescent="0.3">
      <c r="A4">
        <v>0.3</v>
      </c>
      <c r="B4">
        <v>9830.7860000000001</v>
      </c>
      <c r="H4">
        <v>0.3</v>
      </c>
      <c r="I4">
        <v>6657.75</v>
      </c>
      <c r="O4">
        <v>10</v>
      </c>
      <c r="P4">
        <v>3295.0749999999998</v>
      </c>
      <c r="T4">
        <v>0.3</v>
      </c>
      <c r="U4">
        <v>7484.22</v>
      </c>
      <c r="AC4">
        <v>0.3</v>
      </c>
      <c r="AD4">
        <v>5105.49</v>
      </c>
    </row>
    <row r="5" spans="1:30" x14ac:dyDescent="0.3">
      <c r="A5">
        <v>0.4</v>
      </c>
      <c r="B5">
        <v>9148.57</v>
      </c>
      <c r="H5">
        <v>0.4</v>
      </c>
      <c r="I5">
        <v>6195.73</v>
      </c>
      <c r="O5">
        <v>15</v>
      </c>
      <c r="P5">
        <v>2977.43</v>
      </c>
      <c r="T5">
        <v>0.4</v>
      </c>
      <c r="U5">
        <v>6964.86</v>
      </c>
      <c r="AC5">
        <v>0.4</v>
      </c>
      <c r="AD5">
        <v>4751.2</v>
      </c>
    </row>
    <row r="6" spans="1:30" x14ac:dyDescent="0.3">
      <c r="A6">
        <v>0.5</v>
      </c>
      <c r="B6">
        <v>8652.19</v>
      </c>
      <c r="H6">
        <v>0.5</v>
      </c>
      <c r="I6">
        <v>5859.56</v>
      </c>
      <c r="O6">
        <v>20</v>
      </c>
      <c r="P6">
        <v>2770.81</v>
      </c>
      <c r="T6">
        <v>0.5</v>
      </c>
      <c r="U6">
        <v>6586.95</v>
      </c>
      <c r="AC6">
        <v>0.5</v>
      </c>
      <c r="AD6">
        <v>4493.3999999999996</v>
      </c>
    </row>
    <row r="7" spans="1:30" x14ac:dyDescent="0.3">
      <c r="A7">
        <v>0.6</v>
      </c>
      <c r="B7">
        <v>8266.6720000000005</v>
      </c>
      <c r="H7">
        <v>0.6</v>
      </c>
      <c r="I7">
        <v>5598.47</v>
      </c>
      <c r="O7">
        <v>25</v>
      </c>
      <c r="P7">
        <v>2620.4699999999998</v>
      </c>
      <c r="T7">
        <v>0.6</v>
      </c>
      <c r="U7">
        <v>6293.46</v>
      </c>
      <c r="AC7">
        <v>0.6</v>
      </c>
      <c r="AD7">
        <v>4293.1899999999996</v>
      </c>
    </row>
    <row r="8" spans="1:30" x14ac:dyDescent="0.3">
      <c r="A8">
        <v>0.7</v>
      </c>
      <c r="B8">
        <v>7954.1549999999997</v>
      </c>
      <c r="H8">
        <v>0.7</v>
      </c>
      <c r="I8">
        <v>5386.83</v>
      </c>
      <c r="O8">
        <v>30</v>
      </c>
      <c r="P8">
        <v>2503.71</v>
      </c>
      <c r="T8">
        <v>0.7</v>
      </c>
      <c r="U8">
        <v>6055.54</v>
      </c>
      <c r="AC8">
        <v>0.7</v>
      </c>
      <c r="AD8">
        <v>4130.8900000000003</v>
      </c>
    </row>
    <row r="9" spans="1:30" x14ac:dyDescent="0.3">
      <c r="A9">
        <v>0.8</v>
      </c>
      <c r="B9">
        <v>7693</v>
      </c>
      <c r="H9">
        <v>0.8</v>
      </c>
      <c r="I9">
        <v>5209.97</v>
      </c>
      <c r="O9">
        <v>35</v>
      </c>
      <c r="P9">
        <v>2409.06</v>
      </c>
      <c r="T9">
        <v>0.8</v>
      </c>
      <c r="U9">
        <v>5856.72</v>
      </c>
      <c r="AC9">
        <v>0.8</v>
      </c>
      <c r="AD9">
        <v>3995.26</v>
      </c>
    </row>
    <row r="10" spans="1:30" x14ac:dyDescent="0.3">
      <c r="A10">
        <v>0.9</v>
      </c>
      <c r="B10">
        <v>7469.78</v>
      </c>
      <c r="H10">
        <v>0.9</v>
      </c>
      <c r="I10">
        <v>5058.79</v>
      </c>
      <c r="O10">
        <v>40</v>
      </c>
      <c r="P10">
        <v>2329.9699999999998</v>
      </c>
      <c r="T10">
        <v>0.9</v>
      </c>
      <c r="U10">
        <v>5686.78</v>
      </c>
      <c r="AC10">
        <v>0.9</v>
      </c>
      <c r="AD10">
        <v>3879.34</v>
      </c>
    </row>
    <row r="11" spans="1:30" x14ac:dyDescent="0.3">
      <c r="A11">
        <v>1</v>
      </c>
      <c r="B11">
        <v>7279.59</v>
      </c>
      <c r="H11">
        <v>1</v>
      </c>
      <c r="I11">
        <v>4927.28</v>
      </c>
      <c r="O11">
        <v>45</v>
      </c>
      <c r="P11">
        <v>2262.36</v>
      </c>
      <c r="T11">
        <v>1</v>
      </c>
      <c r="U11">
        <v>5538.95</v>
      </c>
      <c r="AC11">
        <v>1</v>
      </c>
      <c r="AD11">
        <v>3778.49</v>
      </c>
    </row>
    <row r="28" spans="1:32" x14ac:dyDescent="0.3">
      <c r="A28" s="5" t="s">
        <v>24</v>
      </c>
      <c r="B28" s="5"/>
      <c r="C28" s="5"/>
      <c r="D28" s="5"/>
      <c r="E28" s="5"/>
      <c r="F28" s="5"/>
      <c r="H28" s="5" t="s">
        <v>20</v>
      </c>
      <c r="I28" s="5"/>
      <c r="J28" s="5"/>
      <c r="K28" s="5"/>
      <c r="O28" s="5" t="s">
        <v>21</v>
      </c>
      <c r="P28" s="5"/>
      <c r="Q28" s="5"/>
      <c r="T28" s="5" t="s">
        <v>22</v>
      </c>
      <c r="U28" s="5"/>
      <c r="V28" s="5"/>
      <c r="W28" s="5"/>
      <c r="X28" s="5"/>
      <c r="AB28" s="5" t="s">
        <v>23</v>
      </c>
      <c r="AC28" s="5"/>
      <c r="AD28" s="5"/>
      <c r="AE28" s="5"/>
      <c r="AF28" s="5"/>
    </row>
  </sheetData>
  <mergeCells count="5">
    <mergeCell ref="A28:F28"/>
    <mergeCell ref="H28:K28"/>
    <mergeCell ref="O28:Q28"/>
    <mergeCell ref="T28:X28"/>
    <mergeCell ref="AB28:AF28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Akshat Pandey</dc:creator>
  <cp:lastModifiedBy>Akshat Pandey</cp:lastModifiedBy>
  <dcterms:created xsi:type="dcterms:W3CDTF">2018-11-03T08:53:32Z</dcterms:created>
  <dcterms:modified xsi:type="dcterms:W3CDTF">2018-11-08T14:37:36Z</dcterms:modified>
</cp:coreProperties>
</file>